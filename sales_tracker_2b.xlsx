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allah.ahmed\Desktop\plan\"/>
    </mc:Choice>
  </mc:AlternateContent>
  <xr:revisionPtr revIDLastSave="0" documentId="8_{467A9196-39AF-4593-AADD-D0399AD13317}" xr6:coauthVersionLast="47" xr6:coauthVersionMax="47" xr10:uidLastSave="{00000000-0000-0000-0000-000000000000}"/>
  <bookViews>
    <workbookView xWindow="-117" yWindow="-117" windowWidth="25142" windowHeight="13544" activeTab="3" xr2:uid="{5BED53FD-1141-4193-A96F-A745F2DCB422}"/>
  </bookViews>
  <sheets>
    <sheet name="توزيع الكوارتر (3.7M)" sheetId="1" r:id="rId1"/>
    <sheet name="شهور الكوارتر الـ 3 (90 يوماً)" sheetId="2" r:id="rId2"/>
    <sheet name="كوارترات عام 2027 (14.8M)" sheetId="3" r:id="rId3"/>
    <sheet name="حوافز المندوبين والميدان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3" l="1"/>
  <c r="D6" i="3"/>
  <c r="C6" i="3"/>
  <c r="D5" i="3"/>
  <c r="D4" i="3"/>
  <c r="D3" i="3"/>
  <c r="D2" i="3"/>
  <c r="E4" i="2"/>
  <c r="E3" i="2"/>
  <c r="E2" i="2"/>
  <c r="I5" i="1"/>
  <c r="H5" i="1"/>
  <c r="F5" i="1"/>
  <c r="E5" i="1"/>
  <c r="D5" i="1"/>
  <c r="C5" i="1"/>
  <c r="I4" i="1"/>
  <c r="H4" i="1"/>
  <c r="F4" i="1"/>
  <c r="E4" i="1"/>
  <c r="I3" i="1"/>
  <c r="H3" i="1"/>
  <c r="F3" i="1"/>
  <c r="E3" i="1"/>
  <c r="I2" i="1"/>
  <c r="H2" i="1"/>
  <c r="F2" i="1"/>
  <c r="E2" i="1"/>
</calcChain>
</file>

<file path=xl/sharedStrings.xml><?xml version="1.0" encoding="utf-8"?>
<sst xmlns="http://schemas.openxmlformats.org/spreadsheetml/2006/main" count="81" uniqueCount="79">
  <si>
    <t>القناة / المسؤول التجاري</t>
  </si>
  <si>
    <t>المناطق والعملاء المستهدفين</t>
  </si>
  <si>
    <t>أساس الكوارتر</t>
  </si>
  <si>
    <t>توسع الكوارتر (+1.5M)</t>
  </si>
  <si>
    <t>تارجت الكوارتر الكلي</t>
  </si>
  <si>
    <t>مستهدف الكاش (50%)</t>
  </si>
  <si>
    <t>نسبة الكاش %</t>
  </si>
  <si>
    <t>سقف الآجل (50%)</t>
  </si>
  <si>
    <t>المعادل الشهري</t>
  </si>
  <si>
    <t>كبار الموزعين والجملة (بإشراف ASM)</t>
  </si>
  <si>
    <t>كبار تجار الجملة ومعارض الكمبيوتر</t>
  </si>
  <si>
    <t>مندوب 1 (Zone 1 - شمال الجيزة)</t>
  </si>
  <si>
    <t>المهندسين، الدقي، إمبابة، الوراق</t>
  </si>
  <si>
    <t>مندوب 2 (Zone 2 - جنوب الجيزة)</t>
  </si>
  <si>
    <t>فيصل، الهرم، 6 أكتوبر، الشيخ زايد</t>
  </si>
  <si>
    <t>إجمالي تارجت الكوارتر (3 شهور)</t>
  </si>
  <si>
    <t>كامل قطاع الجيزة ومحاور التوسع</t>
  </si>
  <si>
    <t>الشهر في الكوارتر</t>
  </si>
  <si>
    <t>كبار الموزعين (ASM)</t>
  </si>
  <si>
    <t>تارجت مندوب 1</t>
  </si>
  <si>
    <t>تارجت مندوب 2</t>
  </si>
  <si>
    <t>إجمالي تارجت الشهر</t>
  </si>
  <si>
    <t>الوزن النسبي %</t>
  </si>
  <si>
    <t>المعالم التشغيلية والمهام الميدانية</t>
  </si>
  <si>
    <t>الشهر الأول (تأسيس وتجديد)</t>
  </si>
  <si>
    <t>مسح 100% من خطوط السير وتأهيل المناديب وفتح 8 عملاء جدد كاش</t>
  </si>
  <si>
    <t>الشهر الثاني (تسارع وتوسع)</t>
  </si>
  <si>
    <t>إطلاق باقات اللابتوب والشواحن وتركيب 20 ستاند وتدوير الآجل (14 يوماً)</t>
  </si>
  <si>
    <t>الشهر الثالث (ذروة وإغلاق)</t>
  </si>
  <si>
    <t>اكتمال تارجت الكوارتر بالكامل (3.7M)، وتصفية التحصيلات وحساب الحوافز</t>
  </si>
  <si>
    <t>الربع السنوي (الكوارتر)</t>
  </si>
  <si>
    <t>شهور الربع</t>
  </si>
  <si>
    <t>مستهدف الكوارتر</t>
  </si>
  <si>
    <t>المتوسط الشهري</t>
  </si>
  <si>
    <t>المحرك التجاري والموسم</t>
  </si>
  <si>
    <t>Q1 (الربع الأول)</t>
  </si>
  <si>
    <t>يناير - مارس</t>
  </si>
  <si>
    <t>تجديد مخزون التجار بعد الجرد السنوي وإجازة منتصف العام وبداية الترم الثاني</t>
  </si>
  <si>
    <t>Q2 (الربع الثاني)</t>
  </si>
  <si>
    <t>أبريل - يونيو</t>
  </si>
  <si>
    <t>مواسم الأعياد، انطلاق حركة المصايف، وباور بانك وشواحن السفر والسيارات</t>
  </si>
  <si>
    <t>Q3 (الربع الثالث - الذهبي)</t>
  </si>
  <si>
    <t>يوليو - سبتمبر</t>
  </si>
  <si>
    <t>موسم الجامعات والمدارس (Back to School): حزم اللابتوب والشنط والمحولات</t>
  </si>
  <si>
    <t>Q4 (الربع الرابع - الذروة)</t>
  </si>
  <si>
    <t>أكتوبر - ديسمبر</t>
  </si>
  <si>
    <t>عروض الجمعة البيضاء وإغلاق المستهدفات السنوية وتصفية التحصيلات</t>
  </si>
  <si>
    <t>إجمالي عام 2027 (4 كوارترات)</t>
  </si>
  <si>
    <t>12 شهراً</t>
  </si>
  <si>
    <t>مستهدف سنوي متوازن ومدروس لقطاع الجيزة (14,800,000 ج.م)</t>
  </si>
  <si>
    <t>بند الحافز والمكافأة</t>
  </si>
  <si>
    <t>القيمة الميدانية</t>
  </si>
  <si>
    <t>شرط الاستحقاق</t>
  </si>
  <si>
    <t>دورية الصرف</t>
  </si>
  <si>
    <t>الهدف الميداني</t>
  </si>
  <si>
    <t>بونص فتح المحل الجديد (Bounty)</t>
  </si>
  <si>
    <t>50 إلى 100 ج.م</t>
  </si>
  <si>
    <t>فاتورة كاش افتتاحية &gt;= 3,000 ج.م</t>
  </si>
  <si>
    <t>أسبوعي / فوري</t>
  </si>
  <si>
    <t>تحفيز فتح 8-10 محلات جديدة شهرياً</t>
  </si>
  <si>
    <t>حافز تفوق الكاش الفوري (Cash Kicker)</t>
  </si>
  <si>
    <t>0.5% إضافية</t>
  </si>
  <si>
    <t>على أي مبيعات كاش تتجاوز نسبة الـ 50%</t>
  </si>
  <si>
    <t>شهري</t>
  </si>
  <si>
    <t>حماية السيولة ومنع تعثر الأموال في السوق</t>
  </si>
  <si>
    <t>بونص تحقيق تارجت الكوارتر (100%)</t>
  </si>
  <si>
    <t>13,500 ج.م</t>
  </si>
  <si>
    <t>تحقيق 600,000 ج.م في الكوارتر</t>
  </si>
  <si>
    <t>ربع سنوي</t>
  </si>
  <si>
    <t>مكافأة الاستقرار البيعي الكامل للمندوب (بواقع 4,500 ج.م شهرياً)</t>
  </si>
  <si>
    <t>بونص نجم الكوارتر (Super Star 110%+)</t>
  </si>
  <si>
    <t>19,500 ج.م + درع تميز</t>
  </si>
  <si>
    <t>تحقيق &gt; 660,000 ج.م في الكوارتر</t>
  </si>
  <si>
    <t>إشعال روح التنافس الإيجابي بين المندوبين طوال الـ 3 شهور</t>
  </si>
  <si>
    <t>شنطة الاستبدال الفوري للتالف (RMA)</t>
  </si>
  <si>
    <t>2,500 ج.م بضاعة عائمة</t>
  </si>
  <si>
    <t>استبدال فوري بلحظتها للتاجر</t>
  </si>
  <si>
    <t>يومي / أسبوعي</t>
  </si>
  <si>
    <t>إزالة أكبر عائق أمام دخول المحلات واقتناص الرفوف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</si>
</sst>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ج.م&quot;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63B80"/>
        <bgColor indexed="64"/>
      </patternFill>
    </fill>
    <fill>
      <patternFill patternType="solid">
        <fgColor rgb="FF3756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4F405-C3B3-4C25-B291-4B21606C2BC0}">
  <dimension ref="A1:I5"/>
  <sheetViews>
    <sheetView rightToLeft="1" workbookViewId="0"/>
  </sheetViews>
  <sheetFormatPr defaultRowHeight="14.95" x14ac:dyDescent="0.3"/>
  <cols>
    <col min="1" max="1" width="30.109375" bestFit="1" customWidth="1"/>
    <col min="2" max="2" width="28.44140625" bestFit="1" customWidth="1"/>
    <col min="3" max="3" width="12.109375" bestFit="1" customWidth="1"/>
    <col min="4" max="4" width="19.5546875" bestFit="1" customWidth="1"/>
    <col min="5" max="5" width="17" bestFit="1" customWidth="1"/>
    <col min="6" max="6" width="19.5546875" bestFit="1" customWidth="1"/>
    <col min="7" max="7" width="12.44140625" bestFit="1" customWidth="1"/>
    <col min="8" max="8" width="15.77734375" bestFit="1" customWidth="1"/>
    <col min="9" max="9" width="13.44140625" bestFit="1" customWidth="1"/>
  </cols>
  <sheetData>
    <row r="1" spans="1:9" ht="16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25" x14ac:dyDescent="0.3">
      <c r="A2" s="2" t="s">
        <v>9</v>
      </c>
      <c r="B2" s="2" t="s">
        <v>10</v>
      </c>
      <c r="C2" s="3">
        <v>1800000</v>
      </c>
      <c r="D2" s="3">
        <v>700000</v>
      </c>
      <c r="E2" s="3">
        <f>C2+D2</f>
        <v>2500000</v>
      </c>
      <c r="F2" s="3">
        <f>E2*0.5</f>
        <v>1250000</v>
      </c>
      <c r="G2" s="4">
        <v>0.5</v>
      </c>
      <c r="H2" s="3">
        <f>E2*0.5</f>
        <v>1250000</v>
      </c>
      <c r="I2" s="3">
        <f>E2/3</f>
        <v>833333.33333333337</v>
      </c>
    </row>
    <row r="3" spans="1:9" ht="16.25" x14ac:dyDescent="0.3">
      <c r="A3" s="2" t="s">
        <v>11</v>
      </c>
      <c r="B3" s="2" t="s">
        <v>12</v>
      </c>
      <c r="C3" s="3">
        <v>200000</v>
      </c>
      <c r="D3" s="3">
        <v>400000</v>
      </c>
      <c r="E3" s="3">
        <f>C3+D3</f>
        <v>600000</v>
      </c>
      <c r="F3" s="3">
        <f>E3*0.5</f>
        <v>300000</v>
      </c>
      <c r="G3" s="4">
        <v>0.5</v>
      </c>
      <c r="H3" s="3">
        <f>E3*0.5</f>
        <v>300000</v>
      </c>
      <c r="I3" s="3">
        <f>E3/3</f>
        <v>200000</v>
      </c>
    </row>
    <row r="4" spans="1:9" ht="16.25" x14ac:dyDescent="0.3">
      <c r="A4" s="2" t="s">
        <v>13</v>
      </c>
      <c r="B4" s="2" t="s">
        <v>14</v>
      </c>
      <c r="C4" s="3">
        <v>200000</v>
      </c>
      <c r="D4" s="3">
        <v>400000</v>
      </c>
      <c r="E4" s="3">
        <f>C4+D4</f>
        <v>600000</v>
      </c>
      <c r="F4" s="3">
        <f>E4*0.5</f>
        <v>300000</v>
      </c>
      <c r="G4" s="4">
        <v>0.5</v>
      </c>
      <c r="H4" s="3">
        <f>E4*0.5</f>
        <v>300000</v>
      </c>
      <c r="I4" s="3">
        <f>E4/3</f>
        <v>200000</v>
      </c>
    </row>
    <row r="5" spans="1:9" ht="16.25" x14ac:dyDescent="0.3">
      <c r="A5" s="2" t="s">
        <v>15</v>
      </c>
      <c r="B5" s="2" t="s">
        <v>16</v>
      </c>
      <c r="C5" s="3">
        <f>SUM(C2:C4)</f>
        <v>2200000</v>
      </c>
      <c r="D5" s="3">
        <f>SUM(D2:D4)</f>
        <v>1500000</v>
      </c>
      <c r="E5" s="3">
        <f>SUM(E2:E4)</f>
        <v>3700000</v>
      </c>
      <c r="F5" s="3">
        <f>SUM(F2:F4)</f>
        <v>1850000</v>
      </c>
      <c r="G5" s="4">
        <v>0.5</v>
      </c>
      <c r="H5" s="3">
        <f>SUM(H2:H4)</f>
        <v>1850000</v>
      </c>
      <c r="I5" s="3">
        <f>E5/3</f>
        <v>1233333.3333333333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A4C6B-5CE6-4A0C-8131-420AC4E566A9}">
  <dimension ref="A1:G4"/>
  <sheetViews>
    <sheetView rightToLeft="1" workbookViewId="0"/>
  </sheetViews>
  <sheetFormatPr defaultRowHeight="14.95" x14ac:dyDescent="0.3"/>
  <cols>
    <col min="1" max="1" width="23.33203125" bestFit="1" customWidth="1"/>
    <col min="2" max="2" width="17.6640625" bestFit="1" customWidth="1"/>
    <col min="3" max="4" width="13.6640625" bestFit="1" customWidth="1"/>
    <col min="5" max="5" width="16.77734375" bestFit="1" customWidth="1"/>
    <col min="6" max="6" width="13.5546875" bestFit="1" customWidth="1"/>
    <col min="7" max="7" width="59.21875" bestFit="1" customWidth="1"/>
  </cols>
  <sheetData>
    <row r="1" spans="1:7" ht="16.25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ht="16.25" x14ac:dyDescent="0.3">
      <c r="A2" s="2" t="s">
        <v>24</v>
      </c>
      <c r="B2" s="3">
        <v>700000</v>
      </c>
      <c r="C2" s="3">
        <v>150000</v>
      </c>
      <c r="D2" s="3">
        <v>150000</v>
      </c>
      <c r="E2" s="3">
        <f>SUM(B2:D2)</f>
        <v>1000000</v>
      </c>
      <c r="F2" s="4">
        <v>0.27</v>
      </c>
      <c r="G2" s="2" t="s">
        <v>25</v>
      </c>
    </row>
    <row r="3" spans="1:7" ht="16.25" x14ac:dyDescent="0.3">
      <c r="A3" s="2" t="s">
        <v>26</v>
      </c>
      <c r="B3" s="3">
        <v>850000</v>
      </c>
      <c r="C3" s="3">
        <v>225000</v>
      </c>
      <c r="D3" s="3">
        <v>225000</v>
      </c>
      <c r="E3" s="3">
        <f>SUM(B3:D3)</f>
        <v>1300000</v>
      </c>
      <c r="F3" s="4">
        <v>0.35099999999999998</v>
      </c>
      <c r="G3" s="2" t="s">
        <v>27</v>
      </c>
    </row>
    <row r="4" spans="1:7" ht="16.25" x14ac:dyDescent="0.3">
      <c r="A4" s="2" t="s">
        <v>28</v>
      </c>
      <c r="B4" s="3">
        <v>950000</v>
      </c>
      <c r="C4" s="3">
        <v>225000</v>
      </c>
      <c r="D4" s="3">
        <v>225000</v>
      </c>
      <c r="E4" s="3">
        <f>SUM(B4:D4)</f>
        <v>1400000</v>
      </c>
      <c r="F4" s="4">
        <v>0.379</v>
      </c>
      <c r="G4" s="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BE96-EDFB-4AC4-ABEC-5DCDE12150D2}">
  <dimension ref="A1:F6"/>
  <sheetViews>
    <sheetView rightToLeft="1" workbookViewId="0"/>
  </sheetViews>
  <sheetFormatPr defaultRowHeight="14.95" x14ac:dyDescent="0.3"/>
  <cols>
    <col min="1" max="1" width="24.33203125" bestFit="1" customWidth="1"/>
    <col min="2" max="2" width="13.33203125" bestFit="1" customWidth="1"/>
    <col min="3" max="3" width="14.5546875" bestFit="1" customWidth="1"/>
    <col min="4" max="4" width="14.44140625" bestFit="1" customWidth="1"/>
    <col min="5" max="5" width="13.5546875" bestFit="1" customWidth="1"/>
    <col min="6" max="6" width="63.109375" bestFit="1" customWidth="1"/>
  </cols>
  <sheetData>
    <row r="1" spans="1:6" ht="16.25" x14ac:dyDescent="0.3">
      <c r="A1" s="5" t="s">
        <v>30</v>
      </c>
      <c r="B1" s="5" t="s">
        <v>31</v>
      </c>
      <c r="C1" s="5" t="s">
        <v>32</v>
      </c>
      <c r="D1" s="5" t="s">
        <v>33</v>
      </c>
      <c r="E1" s="5" t="s">
        <v>22</v>
      </c>
      <c r="F1" s="5" t="s">
        <v>34</v>
      </c>
    </row>
    <row r="2" spans="1:6" ht="16.25" x14ac:dyDescent="0.3">
      <c r="A2" s="2" t="s">
        <v>35</v>
      </c>
      <c r="B2" s="2" t="s">
        <v>36</v>
      </c>
      <c r="C2" s="3">
        <v>3400000</v>
      </c>
      <c r="D2" s="3">
        <f>C2/3</f>
        <v>1133333.3333333333</v>
      </c>
      <c r="E2" s="4">
        <v>0.23</v>
      </c>
      <c r="F2" s="2" t="s">
        <v>37</v>
      </c>
    </row>
    <row r="3" spans="1:6" ht="16.25" x14ac:dyDescent="0.3">
      <c r="A3" s="2" t="s">
        <v>38</v>
      </c>
      <c r="B3" s="2" t="s">
        <v>39</v>
      </c>
      <c r="C3" s="3">
        <v>3700000</v>
      </c>
      <c r="D3" s="3">
        <f>C3/3</f>
        <v>1233333.3333333333</v>
      </c>
      <c r="E3" s="4">
        <v>0.25</v>
      </c>
      <c r="F3" s="2" t="s">
        <v>40</v>
      </c>
    </row>
    <row r="4" spans="1:6" ht="16.25" x14ac:dyDescent="0.3">
      <c r="A4" s="2" t="s">
        <v>41</v>
      </c>
      <c r="B4" s="2" t="s">
        <v>42</v>
      </c>
      <c r="C4" s="3">
        <v>4000000</v>
      </c>
      <c r="D4" s="3">
        <f>C4/3</f>
        <v>1333333.3333333333</v>
      </c>
      <c r="E4" s="4">
        <v>0.27</v>
      </c>
      <c r="F4" s="2" t="s">
        <v>43</v>
      </c>
    </row>
    <row r="5" spans="1:6" ht="16.25" x14ac:dyDescent="0.3">
      <c r="A5" s="2" t="s">
        <v>44</v>
      </c>
      <c r="B5" s="2" t="s">
        <v>45</v>
      </c>
      <c r="C5" s="3">
        <v>3700000</v>
      </c>
      <c r="D5" s="3">
        <f>C5/3</f>
        <v>1233333.3333333333</v>
      </c>
      <c r="E5" s="4">
        <v>0.25</v>
      </c>
      <c r="F5" s="2" t="s">
        <v>46</v>
      </c>
    </row>
    <row r="6" spans="1:6" ht="16.25" x14ac:dyDescent="0.3">
      <c r="A6" s="2" t="s">
        <v>47</v>
      </c>
      <c r="B6" s="2" t="s">
        <v>48</v>
      </c>
      <c r="C6" s="3">
        <f>SUM(C2:C5)</f>
        <v>14800000</v>
      </c>
      <c r="D6" s="3">
        <f>C6/12</f>
        <v>1233333.3333333333</v>
      </c>
      <c r="E6" s="4">
        <f>SUM(E2:E5)</f>
        <v>1</v>
      </c>
      <c r="F6" s="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ABFCA-0F5A-4D24-9EFD-F9495C6C7E4E}">
  <dimension ref="A1:E6"/>
  <sheetViews>
    <sheetView rightToLeft="1" tabSelected="1" workbookViewId="0"/>
  </sheetViews>
  <sheetFormatPr defaultRowHeight="14.95" x14ac:dyDescent="0.3"/>
  <cols>
    <col min="1" max="1" width="33" bestFit="1" customWidth="1"/>
    <col min="2" max="2" width="19.44140625" bestFit="1" customWidth="1"/>
    <col min="3" max="3" width="33.77734375" bestFit="1" customWidth="1"/>
    <col min="4" max="4" width="13.6640625" bestFit="1" customWidth="1"/>
    <col min="5" max="5" width="52.109375" bestFit="1" customWidth="1"/>
  </cols>
  <sheetData>
    <row r="1" spans="1:5" ht="16.25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 ht="16.25" x14ac:dyDescent="0.3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</row>
    <row r="3" spans="1:5" ht="16.25" x14ac:dyDescent="0.3">
      <c r="A3" s="2" t="s">
        <v>60</v>
      </c>
      <c r="B3" s="2" t="s">
        <v>61</v>
      </c>
      <c r="C3" s="2" t="s">
        <v>62</v>
      </c>
      <c r="D3" s="2" t="s">
        <v>63</v>
      </c>
      <c r="E3" s="2" t="s">
        <v>64</v>
      </c>
    </row>
    <row r="4" spans="1:5" ht="16.25" x14ac:dyDescent="0.3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</row>
    <row r="5" spans="1:5" ht="16.25" x14ac:dyDescent="0.3">
      <c r="A5" s="2" t="s">
        <v>70</v>
      </c>
      <c r="B5" s="2" t="s">
        <v>71</v>
      </c>
      <c r="C5" s="2" t="s">
        <v>72</v>
      </c>
      <c r="D5" s="2" t="s">
        <v>68</v>
      </c>
      <c r="E5" s="2" t="s">
        <v>73</v>
      </c>
    </row>
    <row r="6" spans="1:5" ht="16.25" x14ac:dyDescent="0.3">
      <c r="A6" s="2" t="s">
        <v>74</v>
      </c>
      <c r="B6" s="2" t="s">
        <v>75</v>
      </c>
      <c r="C6" s="2" t="s">
        <v>76</v>
      </c>
      <c r="D6" s="2" t="s">
        <v>77</v>
      </c>
      <c r="E6" s="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توزيع الكوارتر (3.7M)</vt:lpstr>
      <vt:lpstr>شهور الكوارتر الـ 3 (90 يوماً)</vt:lpstr>
      <vt:lpstr>كوارترات عام 2027 (14.8M)</vt:lpstr>
      <vt:lpstr>حوافز المندوبين والميدان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Ahmed</dc:creator>
  <cp:lastModifiedBy>Abdallah Ahmed</cp:lastModifiedBy>
  <dcterms:created xsi:type="dcterms:W3CDTF">2026-10-01T02:03:42Z</dcterms:created>
  <dcterms:modified xsi:type="dcterms:W3CDTF">2026-10-01T02:03:48Z</dcterms:modified>
</cp:coreProperties>
</file>